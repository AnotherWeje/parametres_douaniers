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eur Dédouan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<sst xmlns="http://schemas.openxmlformats.org/spreadsheetml/2006/main" count="66" uniqueCount="62">
  <si>
    <t xml:space="preserve">CALCULATEUR DE DÉDOUANEMENT - CAMEROUN</t>
  </si>
  <si>
    <t xml:space="preserve">1) INFORMATIONS GÉNÉRALES</t>
  </si>
  <si>
    <t xml:space="preserve">Description produit:</t>
  </si>
  <si>
    <t xml:space="preserve">Riz long grain</t>
  </si>
  <si>
    <t xml:space="preserve">Quantité (tonnes):</t>
  </si>
  <si>
    <t xml:space="preserve">Valeur FOB (USD/tonne):</t>
  </si>
  <si>
    <t xml:space="preserve">Fret (USD/tonne):</t>
  </si>
  <si>
    <t xml:space="preserve">Assurance (USD/tonne):</t>
  </si>
  <si>
    <t xml:space="preserve">(Si 0, calculée auto)</t>
  </si>
  <si>
    <t xml:space="preserve">Taux assurance (%):</t>
  </si>
  <si>
    <t xml:space="preserve">Taux de change (USD → FCFA):</t>
  </si>
  <si>
    <t xml:space="preserve">Produit:</t>
  </si>
  <si>
    <t xml:space="preserve">riz</t>
  </si>
  <si>
    <t xml:space="preserve">TEC (%):</t>
  </si>
  <si>
    <t xml:space="preserve">5=riz/blé, 10=coton, 20=électronique, 30=véhicule</t>
  </si>
  <si>
    <t xml:space="preserve">Abattement (%):</t>
  </si>
  <si>
    <t xml:space="preserve">Accise (o/n):</t>
  </si>
  <si>
    <t xml:space="preserve">n</t>
  </si>
  <si>
    <t xml:space="preserve">Taux accise (%):</t>
  </si>
  <si>
    <t xml:space="preserve">2) VALEURS EN USD ET FCFA</t>
  </si>
  <si>
    <t xml:space="preserve">Désignation</t>
  </si>
  <si>
    <t xml:space="preserve">Valeur USD</t>
  </si>
  <si>
    <t xml:space="preserve">Valeur FCFA</t>
  </si>
  <si>
    <t xml:space="preserve">FOB total</t>
  </si>
  <si>
    <t xml:space="preserve">Fret total</t>
  </si>
  <si>
    <t xml:space="preserve">Assurance totale</t>
  </si>
  <si>
    <t xml:space="preserve">Valeur CIF</t>
  </si>
  <si>
    <t xml:space="preserve">Valeur imposable</t>
  </si>
  <si>
    <t xml:space="preserve">3) CALCUL DES DROITS ET TAXES</t>
  </si>
  <si>
    <t xml:space="preserve">Taux (%)</t>
  </si>
  <si>
    <t xml:space="preserve">Base de calcul (FCFA)</t>
  </si>
  <si>
    <t xml:space="preserve">Montant (FCFA)</t>
  </si>
  <si>
    <t xml:space="preserve">TEC / Droit de douane</t>
  </si>
  <si>
    <t xml:space="preserve">Redevance statistique</t>
  </si>
  <si>
    <t xml:space="preserve">Droit d'accise</t>
  </si>
  <si>
    <t xml:space="preserve">Base TVA</t>
  </si>
  <si>
    <t xml:space="preserve">19.25</t>
  </si>
  <si>
    <t xml:space="preserve">TOTAL DROITS ET TAXES</t>
  </si>
  <si>
    <t xml:space="preserve">4) FRAIS DU TRANSITAIRE</t>
  </si>
  <si>
    <t xml:space="preserve">Frais de dossier (forfait)</t>
  </si>
  <si>
    <t xml:space="preserve">FCFA</t>
  </si>
  <si>
    <t xml:space="preserve">Déclaration en détail</t>
  </si>
  <si>
    <t xml:space="preserve">Manutention (par tonne)</t>
  </si>
  <si>
    <t xml:space="preserve">Magasinage (par tonne/jour)</t>
  </si>
  <si>
    <t xml:space="preserve">Durée (jours):</t>
  </si>
  <si>
    <t xml:space="preserve">  → Total magasinage</t>
  </si>
  <si>
    <t xml:space="preserve">Transport (par tonne)</t>
  </si>
  <si>
    <t xml:space="preserve">Contrôle qualité (par tonne)</t>
  </si>
  <si>
    <t xml:space="preserve">Frais de représentation</t>
  </si>
  <si>
    <t xml:space="preserve">Commission transitaire (% CIF)</t>
  </si>
  <si>
    <t xml:space="preserve">SOUS-TOTAL TRANSITAIRE</t>
  </si>
  <si>
    <t xml:space="preserve">5) FRAIS ADDITIONNELS</t>
  </si>
  <si>
    <t xml:space="preserve">Contrôle phytosanitaire</t>
  </si>
  <si>
    <t xml:space="preserve">Certificat de conformité</t>
  </si>
  <si>
    <t xml:space="preserve">Frais de port</t>
  </si>
  <si>
    <t xml:space="preserve">Assurance transit</t>
  </si>
  <si>
    <t xml:space="preserve">Autre frais</t>
  </si>
  <si>
    <t xml:space="preserve">SOUS-TOTAL ADDITIONNELS</t>
  </si>
  <si>
    <t xml:space="preserve">6) TOTAL GÉNÉRAL</t>
  </si>
  <si>
    <t xml:space="preserve">Droits et taxes fiscaux:</t>
  </si>
  <si>
    <t xml:space="preserve">Frais transitaire:</t>
  </si>
  <si>
    <t xml:space="preserve">Frais additionnels: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</si>
</sst>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\ %"/>
    <numFmt numFmtId="167" formatCode="0.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03764"/>
        <bgColor rgb="FF333399"/>
      </patternFill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D966"/>
        <bgColor rgb="FFFFFF99"/>
      </patternFill>
    </fill>
    <fill>
      <patternFill patternType="solid">
        <fgColor rgb="FF37562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2037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3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0" t="s">
        <v>2</v>
      </c>
      <c r="B4" s="3" t="s">
        <v>3</v>
      </c>
    </row>
    <row r="5" customFormat="false" ht="15" hidden="false" customHeight="false" outlineLevel="0" collapsed="false">
      <c r="A5" s="0" t="s">
        <v>4</v>
      </c>
      <c r="B5" s="4" t="n">
        <v>12000</v>
      </c>
    </row>
    <row r="6" customFormat="false" ht="15" hidden="false" customHeight="false" outlineLevel="0" collapsed="false">
      <c r="A6" s="0" t="s">
        <v>5</v>
      </c>
      <c r="B6" s="4" t="n">
        <v>400</v>
      </c>
    </row>
    <row r="7" customFormat="false" ht="15" hidden="false" customHeight="false" outlineLevel="0" collapsed="false">
      <c r="A7" s="0" t="s">
        <v>6</v>
      </c>
      <c r="B7" s="4" t="n">
        <v>0</v>
      </c>
    </row>
    <row r="8" customFormat="false" ht="15" hidden="false" customHeight="false" outlineLevel="0" collapsed="false">
      <c r="A8" s="0" t="s">
        <v>7</v>
      </c>
      <c r="B8" s="4" t="n">
        <v>0</v>
      </c>
      <c r="C8" s="5" t="s">
        <v>8</v>
      </c>
    </row>
    <row r="9" customFormat="false" ht="15" hidden="false" customHeight="false" outlineLevel="0" collapsed="false">
      <c r="A9" s="0" t="s">
        <v>9</v>
      </c>
      <c r="B9" s="6" t="n">
        <v>0.5</v>
      </c>
    </row>
    <row r="10" customFormat="false" ht="15" hidden="false" customHeight="false" outlineLevel="0" collapsed="false">
      <c r="A10" s="0" t="s">
        <v>10</v>
      </c>
      <c r="B10" s="4" t="n">
        <v>600</v>
      </c>
    </row>
    <row r="11" customFormat="false" ht="15" hidden="false" customHeight="false" outlineLevel="0" collapsed="false">
      <c r="A11" s="0" t="s">
        <v>11</v>
      </c>
      <c r="B11" s="3" t="s">
        <v>12</v>
      </c>
    </row>
    <row r="12" customFormat="false" ht="15" hidden="false" customHeight="false" outlineLevel="0" collapsed="false">
      <c r="A12" s="0" t="s">
        <v>13</v>
      </c>
      <c r="B12" s="7" t="n">
        <v>5</v>
      </c>
      <c r="C12" s="5" t="s">
        <v>14</v>
      </c>
    </row>
    <row r="13" customFormat="false" ht="15" hidden="false" customHeight="false" outlineLevel="0" collapsed="false">
      <c r="A13" s="0" t="s">
        <v>15</v>
      </c>
      <c r="B13" s="7" t="n">
        <v>50</v>
      </c>
    </row>
    <row r="14" customFormat="false" ht="15" hidden="false" customHeight="false" outlineLevel="0" collapsed="false">
      <c r="A14" s="0" t="s">
        <v>16</v>
      </c>
      <c r="B14" s="3" t="s">
        <v>17</v>
      </c>
    </row>
    <row r="15" customFormat="false" ht="15" hidden="false" customHeight="false" outlineLevel="0" collapsed="false">
      <c r="A15" s="0" t="s">
        <v>18</v>
      </c>
      <c r="B15" s="7" t="n">
        <v>0</v>
      </c>
    </row>
    <row r="17" customFormat="false" ht="15" hidden="false" customHeight="false" outlineLevel="0" collapsed="false">
      <c r="A17" s="2" t="s">
        <v>19</v>
      </c>
      <c r="B17" s="2"/>
      <c r="C17" s="2"/>
      <c r="D17" s="2"/>
    </row>
    <row r="18" customFormat="false" ht="15" hidden="false" customHeight="false" outlineLevel="0" collapsed="false">
      <c r="A18" s="8" t="s">
        <v>20</v>
      </c>
      <c r="B18" s="8" t="s">
        <v>21</v>
      </c>
      <c r="C18" s="8" t="s">
        <v>22</v>
      </c>
    </row>
    <row r="19" customFormat="false" ht="13.8" hidden="false" customHeight="false" outlineLevel="0" collapsed="false">
      <c r="A19" s="0" t="s">
        <v>23</v>
      </c>
      <c r="B19" s="4"/>
      <c r="C19" s="4"/>
    </row>
    <row r="20" customFormat="false" ht="13.8" hidden="false" customHeight="false" outlineLevel="0" collapsed="false">
      <c r="A20" s="0" t="s">
        <v>24</v>
      </c>
      <c r="B20" s="4"/>
      <c r="C20" s="4"/>
    </row>
    <row r="21" customFormat="false" ht="13.8" hidden="false" customHeight="false" outlineLevel="0" collapsed="false">
      <c r="A21" s="0" t="s">
        <v>25</v>
      </c>
      <c r="B21" s="4"/>
      <c r="C21" s="4"/>
    </row>
    <row r="22" customFormat="false" ht="15" hidden="false" customHeight="false" outlineLevel="0" collapsed="false">
      <c r="A22" s="0" t="s">
        <v>26</v>
      </c>
      <c r="B22" s="9" t="n">
        <f aca="false">B19+B20+B21</f>
        <v>0</v>
      </c>
      <c r="C22" s="9" t="n">
        <f aca="false">B22*B10</f>
        <v>0</v>
      </c>
    </row>
    <row r="23" customFormat="false" ht="15" hidden="false" customHeight="false" outlineLevel="0" collapsed="false">
      <c r="A23" s="0" t="s">
        <v>27</v>
      </c>
      <c r="B23" s="10" t="n">
        <f aca="false">B22*(1-B13/100)</f>
        <v>0</v>
      </c>
      <c r="C23" s="10" t="n">
        <f aca="false">B23*B10</f>
        <v>0</v>
      </c>
    </row>
    <row r="25" customFormat="false" ht="15" hidden="false" customHeight="false" outlineLevel="0" collapsed="false">
      <c r="A25" s="2" t="s">
        <v>28</v>
      </c>
      <c r="B25" s="2"/>
      <c r="C25" s="2"/>
      <c r="D25" s="2"/>
    </row>
    <row r="26" customFormat="false" ht="15" hidden="false" customHeight="false" outlineLevel="0" collapsed="false">
      <c r="A26" s="8" t="s">
        <v>20</v>
      </c>
      <c r="B26" s="8" t="s">
        <v>29</v>
      </c>
      <c r="C26" s="8" t="s">
        <v>30</v>
      </c>
      <c r="D26" s="8" t="s">
        <v>31</v>
      </c>
    </row>
    <row r="27" customFormat="false" ht="15" hidden="false" customHeight="false" outlineLevel="0" collapsed="false">
      <c r="A27" s="0" t="s">
        <v>32</v>
      </c>
      <c r="B27" s="4" t="n">
        <f aca="false">B12</f>
        <v>5</v>
      </c>
      <c r="C27" s="4" t="n">
        <f aca="false">C23</f>
        <v>0</v>
      </c>
      <c r="D27" s="4" t="n">
        <f aca="false">C23*B12/100</f>
        <v>0</v>
      </c>
    </row>
    <row r="28" customFormat="false" ht="15" hidden="false" customHeight="false" outlineLevel="0" collapsed="false">
      <c r="A28" s="0" t="s">
        <v>33</v>
      </c>
      <c r="B28" s="4" t="n">
        <v>2</v>
      </c>
      <c r="C28" s="4" t="n">
        <f aca="false">C22</f>
        <v>0</v>
      </c>
      <c r="D28" s="4" t="n">
        <f aca="false">C22*2/100</f>
        <v>0</v>
      </c>
    </row>
    <row r="29" customFormat="false" ht="15" hidden="false" customHeight="false" outlineLevel="0" collapsed="false">
      <c r="A29" s="0" t="s">
        <v>34</v>
      </c>
      <c r="B29" s="4" t="n">
        <f aca="false">IF(B14="o",B15,0)</f>
        <v>0</v>
      </c>
      <c r="C29" s="4" t="n">
        <f aca="false">C23+D27</f>
        <v>0</v>
      </c>
      <c r="D29" s="4" t="n">
        <f aca="false">IF(B14="o",(C23+D27)*B15/100,0)</f>
        <v>0</v>
      </c>
    </row>
    <row r="30" customFormat="false" ht="15" hidden="false" customHeight="false" outlineLevel="0" collapsed="false">
      <c r="A30" s="0" t="s">
        <v>35</v>
      </c>
      <c r="B30" s="4" t="s">
        <v>36</v>
      </c>
      <c r="C30" s="4" t="n">
        <f aca="false">C23+D27+D28+D29</f>
        <v>0</v>
      </c>
      <c r="D30" s="4" t="n">
        <f aca="false">C30*19.25/100</f>
        <v>0</v>
      </c>
    </row>
    <row r="31" customFormat="false" ht="15" hidden="false" customHeight="false" outlineLevel="0" collapsed="false">
      <c r="A31" s="11" t="s">
        <v>37</v>
      </c>
      <c r="D31" s="12" t="n">
        <f aca="false">D27+D28+D29+D30</f>
        <v>0</v>
      </c>
    </row>
    <row r="33" customFormat="false" ht="15" hidden="false" customHeight="false" outlineLevel="0" collapsed="false">
      <c r="A33" s="2" t="s">
        <v>38</v>
      </c>
      <c r="B33" s="2"/>
      <c r="C33" s="2"/>
      <c r="D33" s="2"/>
    </row>
    <row r="34" customFormat="false" ht="13.8" hidden="false" customHeight="false" outlineLevel="0" collapsed="false">
      <c r="A34" s="0" t="s">
        <v>39</v>
      </c>
      <c r="B34" s="4"/>
      <c r="C34" s="5" t="s">
        <v>40</v>
      </c>
    </row>
    <row r="35" customFormat="false" ht="13.8" hidden="false" customHeight="false" outlineLevel="0" collapsed="false">
      <c r="A35" s="0" t="s">
        <v>41</v>
      </c>
      <c r="B35" s="4"/>
      <c r="C35" s="5" t="s">
        <v>40</v>
      </c>
    </row>
    <row r="36" customFormat="false" ht="13.8" hidden="false" customHeight="false" outlineLevel="0" collapsed="false">
      <c r="A36" s="0" t="s">
        <v>42</v>
      </c>
      <c r="B36" s="4"/>
      <c r="D36" s="4" t="n">
        <f aca="false">B36*B5</f>
        <v>0</v>
      </c>
    </row>
    <row r="37" customFormat="false" ht="13.8" hidden="false" customHeight="false" outlineLevel="0" collapsed="false">
      <c r="A37" s="0" t="s">
        <v>43</v>
      </c>
      <c r="B37" s="4"/>
      <c r="C37" s="0" t="s">
        <v>44</v>
      </c>
      <c r="D37" s="3"/>
    </row>
    <row r="38" customFormat="false" ht="13.8" hidden="false" customHeight="false" outlineLevel="0" collapsed="false">
      <c r="A38" s="0" t="s">
        <v>45</v>
      </c>
      <c r="B38" s="13"/>
    </row>
    <row r="39" customFormat="false" ht="13.8" hidden="false" customHeight="false" outlineLevel="0" collapsed="false">
      <c r="A39" s="0" t="s">
        <v>46</v>
      </c>
      <c r="B39" s="4"/>
      <c r="D39" s="4" t="n">
        <f aca="false">B39*B5</f>
        <v>0</v>
      </c>
    </row>
    <row r="40" customFormat="false" ht="13.8" hidden="false" customHeight="false" outlineLevel="0" collapsed="false">
      <c r="A40" s="0" t="s">
        <v>47</v>
      </c>
      <c r="B40" s="4"/>
      <c r="D40" s="4" t="n">
        <f aca="false">B40*B5</f>
        <v>0</v>
      </c>
    </row>
    <row r="41" customFormat="false" ht="13.8" hidden="false" customHeight="false" outlineLevel="0" collapsed="false">
      <c r="A41" s="0" t="s">
        <v>48</v>
      </c>
      <c r="B41" s="4"/>
      <c r="C41" s="5" t="s">
        <v>40</v>
      </c>
    </row>
    <row r="42" customFormat="false" ht="13.8" hidden="false" customHeight="false" outlineLevel="0" collapsed="false">
      <c r="A42" s="0" t="s">
        <v>49</v>
      </c>
      <c r="B42" s="7"/>
      <c r="D42" s="4" t="n">
        <f aca="false">C22*B42/100</f>
        <v>0</v>
      </c>
    </row>
    <row r="43" customFormat="false" ht="15" hidden="false" customHeight="false" outlineLevel="0" collapsed="false">
      <c r="A43" s="11" t="s">
        <v>50</v>
      </c>
      <c r="B43" s="12" t="n">
        <f aca="false">B34+B35+D36+B38+D39+D40+B41+D42</f>
        <v>0</v>
      </c>
    </row>
    <row r="45" customFormat="false" ht="15" hidden="false" customHeight="false" outlineLevel="0" collapsed="false">
      <c r="A45" s="2" t="s">
        <v>51</v>
      </c>
      <c r="B45" s="2"/>
      <c r="C45" s="2"/>
      <c r="D45" s="2"/>
    </row>
    <row r="46" customFormat="false" ht="13.8" hidden="false" customHeight="false" outlineLevel="0" collapsed="false">
      <c r="A46" s="0" t="s">
        <v>52</v>
      </c>
      <c r="B46" s="4"/>
    </row>
    <row r="47" customFormat="false" ht="13.8" hidden="false" customHeight="false" outlineLevel="0" collapsed="false">
      <c r="A47" s="0" t="s">
        <v>53</v>
      </c>
      <c r="B47" s="4"/>
    </row>
    <row r="48" customFormat="false" ht="13.8" hidden="false" customHeight="false" outlineLevel="0" collapsed="false">
      <c r="A48" s="0" t="s">
        <v>54</v>
      </c>
      <c r="B48" s="4"/>
    </row>
    <row r="49" customFormat="false" ht="13.8" hidden="false" customHeight="false" outlineLevel="0" collapsed="false">
      <c r="A49" s="0" t="s">
        <v>55</v>
      </c>
      <c r="B49" s="4"/>
    </row>
    <row r="50" customFormat="false" ht="13.8" hidden="false" customHeight="false" outlineLevel="0" collapsed="false">
      <c r="A50" s="0" t="s">
        <v>56</v>
      </c>
      <c r="B50" s="4"/>
    </row>
    <row r="51" customFormat="false" ht="15" hidden="false" customHeight="false" outlineLevel="0" collapsed="false">
      <c r="A51" s="0" t="s">
        <v>56</v>
      </c>
      <c r="B51" s="4"/>
    </row>
    <row r="52" customFormat="false" ht="15" hidden="false" customHeight="false" outlineLevel="0" collapsed="false">
      <c r="A52" s="11" t="s">
        <v>57</v>
      </c>
      <c r="B52" s="12" t="n">
        <f aca="false">B46+B47+B48+B49+B50+B51</f>
        <v>0</v>
      </c>
    </row>
    <row r="54" customFormat="false" ht="15" hidden="false" customHeight="false" outlineLevel="0" collapsed="false">
      <c r="A54" s="2" t="s">
        <v>58</v>
      </c>
      <c r="B54" s="2"/>
      <c r="C54" s="2"/>
      <c r="D54" s="2"/>
    </row>
    <row r="55" customFormat="false" ht="15" hidden="false" customHeight="false" outlineLevel="0" collapsed="false">
      <c r="A55" s="0" t="s">
        <v>59</v>
      </c>
      <c r="B55" s="4" t="n">
        <f aca="false">D31</f>
        <v>0</v>
      </c>
    </row>
    <row r="56" customFormat="false" ht="15" hidden="false" customHeight="false" outlineLevel="0" collapsed="false">
      <c r="A56" s="0" t="s">
        <v>60</v>
      </c>
      <c r="B56" s="4" t="n">
        <f aca="false">B43</f>
        <v>0</v>
      </c>
    </row>
    <row r="57" customFormat="false" ht="15" hidden="false" customHeight="false" outlineLevel="0" collapsed="false">
      <c r="A57" s="0" t="s">
        <v>61</v>
      </c>
      <c r="B57" s="4" t="n">
        <f aca="false">B52</f>
        <v>0</v>
      </c>
    </row>
    <row r="59" customFormat="false" ht="30" hidden="false" customHeight="true" outlineLevel="0" collapsed="false">
      <c r="A59" s="14" t="str">
        <f aca="false">CONCATENATE("TOTAL GÉNÉRAL: ",TEXT(D31+B43+B52,"#,##0.00")," FCFA")</f>
        <v>TOTAL GÉNÉRAL: 0,00 FCFA</v>
      </c>
      <c r="B59" s="14"/>
      <c r="C59" s="14"/>
      <c r="D59" s="14"/>
    </row>
  </sheetData>
  <mergeCells count="8">
    <mergeCell ref="A1:D1"/>
    <mergeCell ref="A3:D3"/>
    <mergeCell ref="A17:D17"/>
    <mergeCell ref="A25:D25"/>
    <mergeCell ref="A33:D33"/>
    <mergeCell ref="A45:D45"/>
    <mergeCell ref="A54:D54"/>
    <mergeCell ref="A59:D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2025-11-17T16:36:07Z</dcterms:created>
  <dc:creator>openpyxl</dc:creator>
  <dc:description/>
  <dc:language>fr-FR</dc:language>
  <cp:lastModifiedBy/>
  <dcterms:modified xsi:type="dcterms:W3CDTF">2025-11-17T17:40:58Z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